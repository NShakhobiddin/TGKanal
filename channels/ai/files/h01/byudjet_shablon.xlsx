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yudjet" sheetId="1" state="visible" r:id="rId3"/>
    <sheet name="Takroriy to'lovla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<sst xmlns="http://schemas.openxmlformats.org/spreadsheetml/2006/main" count="34" uniqueCount="33">
  <si>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Oilaviy byudjet — oylik reja va haqiqat</t>
  </si>
  <si>
    <t xml:space="preserve">Sariq kataklarni o'zingiz to'ldiring; «Farq» va «Bajarilishi» o'zi hisoblanadi. Hozirgi raqamlar — namuna (o'ylab topilgan ko'chirmadan).</t>
  </si>
  <si>
    <t xml:space="preserve">Toifa</t>
  </si>
  <si>
    <t xml:space="preserve">Reja (so'm)</t>
  </si>
  <si>
    <t xml:space="preserve">Haqiqat (so'm)</t>
  </si>
  <si>
    <t xml:space="preserve">Farq (so'm)</t>
  </si>
  <si>
    <t xml:space="preserve">Bajarilishi</t>
  </si>
  <si>
    <t xml:space="preserve">Oziq-ovqat</t>
  </si>
  <si>
    <t xml:space="preserve">Kommunal</t>
  </si>
  <si>
    <t xml:space="preserve">Transport</t>
  </si>
  <si>
    <t xml:space="preserve">Aloqa</t>
  </si>
  <si>
    <t xml:space="preserve">Obuna va abonement</t>
  </si>
  <si>
    <t xml:space="preserve">Kafe va ovqatlanish</t>
  </si>
  <si>
    <t xml:space="preserve">Sog'liq</t>
  </si>
  <si>
    <t xml:space="preserve">Kiyim va uy</t>
  </si>
  <si>
    <t xml:space="preserve">Boshqa</t>
  </si>
  <si>
    <t xml:space="preserve">Jami</t>
  </si>
  <si>
    <t xml:space="preserve">Oylik daromad (so'm)</t>
  </si>
  <si>
    <t xml:space="preserve">Daromaddan qoladi (so'm)</t>
  </si>
  <si>
    <t xml:space="preserve">Har oy takrorlanadigan to'lovlar — yillik summada</t>
  </si>
  <si>
    <t xml:space="preserve">Sariq kataklarga o'z to'lovlaringizni yozing. «Yiliga» ustuni o'zi hisoblanadi.</t>
  </si>
  <si>
    <t xml:space="preserve">To'lov</t>
  </si>
  <si>
    <t xml:space="preserve">Oyiga (so'm)</t>
  </si>
  <si>
    <t xml:space="preserve">Yiliga (so'm)</t>
  </si>
  <si>
    <t xml:space="preserve">Ichimlik suvi</t>
  </si>
  <si>
    <t xml:space="preserve">Chiqindi olib ketish</t>
  </si>
  <si>
    <t xml:space="preserve">Uy interneti</t>
  </si>
  <si>
    <t xml:space="preserve">Mobil aloqa tarifi</t>
  </si>
  <si>
    <t xml:space="preserve">Onlayn kinoteatr obuna</t>
  </si>
  <si>
    <t xml:space="preserve">Musiqa obuna</t>
  </si>
  <si>
    <t xml:space="preserve">Bulutli xotira obuna</t>
  </si>
  <si>
    <t xml:space="preserve">Sport zali abonement</t>
  </si>
  <si>
    <t xml:space="preserve">Bolalar to'garagi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</si>
</sst>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;[RED]\-#,##0"/>
    <numFmt numFmtId="167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2200000</v>
      </c>
      <c r="C5" s="5" t="n">
        <v>2203000</v>
      </c>
      <c r="D5" s="6" t="n">
        <f aca="false">B5-C5</f>
        <v>-3000</v>
      </c>
      <c r="E5" s="7" t="n">
        <f aca="false">IF(B5=0,"",C5/B5)</f>
        <v>1.00136363636364</v>
      </c>
    </row>
    <row r="6" customFormat="false" ht="15" hidden="false" customHeight="false" outlineLevel="0" collapsed="false">
      <c r="A6" s="4" t="s">
        <v>8</v>
      </c>
      <c r="B6" s="5" t="n">
        <v>500000</v>
      </c>
      <c r="C6" s="5" t="n">
        <v>522000</v>
      </c>
      <c r="D6" s="6" t="n">
        <f aca="false">B6-C6</f>
        <v>-22000</v>
      </c>
      <c r="E6" s="7" t="n">
        <f aca="false">IF(B6=0,"",C6/B6)</f>
        <v>1.044</v>
      </c>
    </row>
    <row r="7" customFormat="false" ht="15" hidden="false" customHeight="false" outlineLevel="0" collapsed="false">
      <c r="A7" s="4" t="s">
        <v>9</v>
      </c>
      <c r="B7" s="5" t="n">
        <v>800000</v>
      </c>
      <c r="C7" s="5" t="n">
        <v>850000</v>
      </c>
      <c r="D7" s="6" t="n">
        <f aca="false">B7-C7</f>
        <v>-50000</v>
      </c>
      <c r="E7" s="7" t="n">
        <f aca="false">IF(B7=0,"",C7/B7)</f>
        <v>1.0625</v>
      </c>
    </row>
    <row r="8" customFormat="false" ht="15" hidden="false" customHeight="false" outlineLevel="0" collapsed="false">
      <c r="A8" s="4" t="s">
        <v>10</v>
      </c>
      <c r="B8" s="5" t="n">
        <v>200000</v>
      </c>
      <c r="C8" s="5" t="n">
        <v>219000</v>
      </c>
      <c r="D8" s="6" t="n">
        <f aca="false">B8-C8</f>
        <v>-19000</v>
      </c>
      <c r="E8" s="7" t="n">
        <f aca="false">IF(B8=0,"",C8/B8)</f>
        <v>1.095</v>
      </c>
    </row>
    <row r="9" customFormat="false" ht="15" hidden="false" customHeight="false" outlineLevel="0" collapsed="false">
      <c r="A9" s="4" t="s">
        <v>11</v>
      </c>
      <c r="B9" s="5" t="n">
        <v>800000</v>
      </c>
      <c r="C9" s="5" t="n">
        <v>823000</v>
      </c>
      <c r="D9" s="6" t="n">
        <f aca="false">B9-C9</f>
        <v>-23000</v>
      </c>
      <c r="E9" s="7" t="n">
        <f aca="false">IF(B9=0,"",C9/B9)</f>
        <v>1.02875</v>
      </c>
    </row>
    <row r="10" customFormat="false" ht="15" hidden="false" customHeight="false" outlineLevel="0" collapsed="false">
      <c r="A10" s="4" t="s">
        <v>12</v>
      </c>
      <c r="B10" s="5" t="n">
        <v>600000</v>
      </c>
      <c r="C10" s="5" t="n">
        <v>612000</v>
      </c>
      <c r="D10" s="6" t="n">
        <f aca="false">B10-C10</f>
        <v>-12000</v>
      </c>
      <c r="E10" s="7" t="n">
        <f aca="false">IF(B10=0,"",C10/B10)</f>
        <v>1.02</v>
      </c>
    </row>
    <row r="11" customFormat="false" ht="15" hidden="false" customHeight="false" outlineLevel="0" collapsed="false">
      <c r="A11" s="4" t="s">
        <v>13</v>
      </c>
      <c r="B11" s="5" t="n">
        <v>300000</v>
      </c>
      <c r="C11" s="5" t="n">
        <v>333000</v>
      </c>
      <c r="D11" s="6" t="n">
        <f aca="false">B11-C11</f>
        <v>-33000</v>
      </c>
      <c r="E11" s="7" t="n">
        <f aca="false">IF(B11=0,"",C11/B11)</f>
        <v>1.11</v>
      </c>
    </row>
    <row r="12" customFormat="false" ht="15" hidden="false" customHeight="false" outlineLevel="0" collapsed="false">
      <c r="A12" s="4" t="s">
        <v>14</v>
      </c>
      <c r="B12" s="5" t="n">
        <v>1100000</v>
      </c>
      <c r="C12" s="5" t="n">
        <v>1076000</v>
      </c>
      <c r="D12" s="6" t="n">
        <f aca="false">B12-C12</f>
        <v>24000</v>
      </c>
      <c r="E12" s="7" t="n">
        <f aca="false">IF(B12=0,"",C12/B12)</f>
        <v>0.978181818181818</v>
      </c>
    </row>
    <row r="13" customFormat="false" ht="15" hidden="false" customHeight="false" outlineLevel="0" collapsed="false">
      <c r="A13" s="4" t="s">
        <v>15</v>
      </c>
      <c r="B13" s="5" t="n">
        <v>500000</v>
      </c>
      <c r="C13" s="5" t="n">
        <v>480000</v>
      </c>
      <c r="D13" s="6" t="n">
        <f aca="false">B13-C13</f>
        <v>20000</v>
      </c>
      <c r="E13" s="7" t="n">
        <f aca="false">IF(B13=0,"",C13/B13)</f>
        <v>0.96</v>
      </c>
    </row>
    <row r="14" customFormat="false" ht="15" hidden="false" customHeight="false" outlineLevel="0" collapsed="false">
      <c r="A14" s="8" t="s">
        <v>16</v>
      </c>
      <c r="B14" s="9" t="n">
        <f aca="false">SUM(B5:B13)</f>
        <v>7000000</v>
      </c>
      <c r="C14" s="9" t="n">
        <f aca="false">SUM(C5:C13)</f>
        <v>7118000</v>
      </c>
      <c r="D14" s="9" t="n">
        <f aca="false">SUM(D5:D13)</f>
        <v>-118000</v>
      </c>
      <c r="E14" s="10" t="n">
        <f aca="false">IF(B14=0,"",C14/B14)</f>
        <v>1.01685714285714</v>
      </c>
    </row>
    <row r="16" customFormat="false" ht="15" hidden="false" customHeight="false" outlineLevel="0" collapsed="false">
      <c r="A16" s="4" t="s">
        <v>17</v>
      </c>
      <c r="B16" s="5" t="n">
        <v>10000000</v>
      </c>
    </row>
    <row r="17" customFormat="false" ht="15" hidden="false" customHeight="false" outlineLevel="0" collapsed="false">
      <c r="A17" s="8" t="s">
        <v>18</v>
      </c>
      <c r="B17" s="9" t="n">
        <f aca="false">B16-C14</f>
        <v>2882000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23</v>
      </c>
    </row>
    <row r="5" customFormat="false" ht="15" hidden="false" customHeight="false" outlineLevel="0" collapsed="false">
      <c r="A5" s="11" t="s">
        <v>24</v>
      </c>
      <c r="B5" s="5" t="n">
        <v>48000</v>
      </c>
      <c r="C5" s="12" t="n">
        <f aca="false">IF(B5="","",B5*12)</f>
        <v>576000</v>
      </c>
    </row>
    <row r="6" customFormat="false" ht="15" hidden="false" customHeight="false" outlineLevel="0" collapsed="false">
      <c r="A6" s="11" t="s">
        <v>25</v>
      </c>
      <c r="B6" s="5" t="n">
        <v>30000</v>
      </c>
      <c r="C6" s="12" t="n">
        <f aca="false">IF(B6="","",B6*12)</f>
        <v>360000</v>
      </c>
    </row>
    <row r="7" customFormat="false" ht="15" hidden="false" customHeight="false" outlineLevel="0" collapsed="false">
      <c r="A7" s="11" t="s">
        <v>26</v>
      </c>
      <c r="B7" s="5" t="n">
        <v>149000</v>
      </c>
      <c r="C7" s="12" t="n">
        <f aca="false">IF(B7="","",B7*12)</f>
        <v>1788000</v>
      </c>
    </row>
    <row r="8" customFormat="false" ht="15" hidden="false" customHeight="false" outlineLevel="0" collapsed="false">
      <c r="A8" s="11" t="s">
        <v>27</v>
      </c>
      <c r="B8" s="5" t="n">
        <v>70000</v>
      </c>
      <c r="C8" s="12" t="n">
        <f aca="false">IF(B8="","",B8*12)</f>
        <v>840000</v>
      </c>
    </row>
    <row r="9" customFormat="false" ht="15" hidden="false" customHeight="false" outlineLevel="0" collapsed="false">
      <c r="A9" s="11" t="s">
        <v>28</v>
      </c>
      <c r="B9" s="5" t="n">
        <v>39000</v>
      </c>
      <c r="C9" s="12" t="n">
        <f aca="false">IF(B9="","",B9*12)</f>
        <v>468000</v>
      </c>
    </row>
    <row r="10" customFormat="false" ht="15" hidden="false" customHeight="false" outlineLevel="0" collapsed="false">
      <c r="A10" s="11" t="s">
        <v>29</v>
      </c>
      <c r="B10" s="5" t="n">
        <v>19000</v>
      </c>
      <c r="C10" s="12" t="n">
        <f aca="false">IF(B10="","",B10*12)</f>
        <v>228000</v>
      </c>
    </row>
    <row r="11" customFormat="false" ht="15" hidden="false" customHeight="false" outlineLevel="0" collapsed="false">
      <c r="A11" s="11" t="s">
        <v>30</v>
      </c>
      <c r="B11" s="5" t="n">
        <v>15000</v>
      </c>
      <c r="C11" s="12" t="n">
        <f aca="false">IF(B11="","",B11*12)</f>
        <v>180000</v>
      </c>
    </row>
    <row r="12" customFormat="false" ht="15" hidden="false" customHeight="false" outlineLevel="0" collapsed="false">
      <c r="A12" s="11" t="s">
        <v>31</v>
      </c>
      <c r="B12" s="5" t="n">
        <v>350000</v>
      </c>
      <c r="C12" s="12" t="n">
        <f aca="false">IF(B12="","",B12*12)</f>
        <v>4200000</v>
      </c>
    </row>
    <row r="13" customFormat="false" ht="15" hidden="false" customHeight="false" outlineLevel="0" collapsed="false">
      <c r="A13" s="11" t="s">
        <v>32</v>
      </c>
      <c r="B13" s="5" t="n">
        <v>400000</v>
      </c>
      <c r="C13" s="12" t="n">
        <f aca="false">IF(B13="","",B13*12)</f>
        <v>4800000</v>
      </c>
    </row>
    <row r="14" customFormat="false" ht="15" hidden="false" customHeight="false" outlineLevel="0" collapsed="false">
      <c r="A14" s="11"/>
      <c r="B14" s="5"/>
      <c r="C14" s="12" t="str">
        <f aca="false">IF(B14="","",B14*12)</f>
        <v/>
      </c>
    </row>
    <row r="15" customFormat="false" ht="15" hidden="false" customHeight="false" outlineLevel="0" collapsed="false">
      <c r="A15" s="11"/>
      <c r="B15" s="5"/>
      <c r="C15" s="12" t="str">
        <f aca="false">IF(B15="","",B15*12)</f>
        <v/>
      </c>
    </row>
    <row r="16" customFormat="false" ht="15" hidden="false" customHeight="false" outlineLevel="0" collapsed="false">
      <c r="A16" s="11"/>
      <c r="B16" s="5"/>
      <c r="C16" s="12" t="str">
        <f aca="false">IF(B16="","",B16*12)</f>
        <v/>
      </c>
    </row>
    <row r="17" customFormat="false" ht="15" hidden="false" customHeight="false" outlineLevel="0" collapsed="false">
      <c r="A17" s="11"/>
      <c r="B17" s="5"/>
      <c r="C17" s="12" t="str">
        <f aca="false">IF(B17="","",B17*12)</f>
        <v/>
      </c>
    </row>
    <row r="18" customFormat="false" ht="15" hidden="false" customHeight="false" outlineLevel="0" collapsed="false">
      <c r="A18" s="11"/>
      <c r="B18" s="5"/>
      <c r="C18" s="12" t="str">
        <f aca="false">IF(B18="","",B18*12)</f>
        <v/>
      </c>
    </row>
    <row r="19" customFormat="false" ht="15" hidden="false" customHeight="false" outlineLevel="0" collapsed="false">
      <c r="A19" s="8" t="s">
        <v>16</v>
      </c>
      <c r="B19" s="13" t="n">
        <f aca="false">SUM(B5:B18)</f>
        <v>1120000</v>
      </c>
      <c r="C19" s="13" t="n">
        <f aca="false">SUM(C5:C18)</f>
        <v>13440000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2026-10-09T13:36:03Z</dcterms:created>
  <dc:creator>openpyxl</dc:creator>
  <dc:description/>
  <dc:language>en-US</dc:language>
  <cp:lastModifiedBy/>
  <dcterms:modified xsi:type="dcterms:W3CDTF">2026-10-09T13:36:03Z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